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rian\Documents\My Web Sites\ApuntillosWeb\data\"/>
    </mc:Choice>
  </mc:AlternateContent>
  <xr:revisionPtr revIDLastSave="0" documentId="13_ncr:1_{DD309EBE-0E0E-48F5-A796-026CDC7123D3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ArbolDeMenus" sheetId="1" r:id="rId1"/>
    <sheet name="Parametros" sheetId="3" r:id="rId2"/>
    <sheet name="ContenidosENS" sheetId="2" r:id="rId3"/>
  </sheets>
  <definedNames>
    <definedName name="_xlnm._FilterDatabase" localSheetId="0" hidden="1">ArbolDeMenus!$A$1:$D$65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1" i="1" l="1"/>
  <c r="F77" i="1"/>
  <c r="F72" i="1"/>
  <c r="F73" i="1"/>
  <c r="F78" i="1"/>
  <c r="F79" i="1"/>
  <c r="F80" i="1"/>
  <c r="F74" i="1"/>
  <c r="F75" i="1"/>
  <c r="F76" i="1"/>
</calcChain>
</file>

<file path=xl/sharedStrings.xml><?xml version="1.0" encoding="utf-8"?>
<sst xmlns="http://schemas.openxmlformats.org/spreadsheetml/2006/main" count="177" uniqueCount="168">
  <si>
    <t>Home</t>
  </si>
  <si>
    <t>Notas Seguimiento</t>
  </si>
  <si>
    <t>html/Seguimiento.html</t>
  </si>
  <si>
    <t>Seguimiento Rapido</t>
  </si>
  <si>
    <t>html/SeguimientoRapido.html</t>
  </si>
  <si>
    <t>html/Buscadores.html</t>
  </si>
  <si>
    <t>Gestión de Sistemas e Informática de la Administración del Estado</t>
  </si>
  <si>
    <t>Temario comprado</t>
  </si>
  <si>
    <t>Todos Los Perfiles</t>
  </si>
  <si>
    <t>html/PerfilesTICMadridDigital.html</t>
  </si>
  <si>
    <t>Salen en los test</t>
  </si>
  <si>
    <t>Aclaracion</t>
  </si>
  <si>
    <t>Bloque I. Legislación, Derecho Administrativo y Gestión Universitaria</t>
  </si>
  <si>
    <t>Bloque II. Tecnología básica.</t>
  </si>
  <si>
    <t>Bloque III.a. Desarrollo de aplicaciones.</t>
  </si>
  <si>
    <t>Bloque III.b. Infraestructura</t>
  </si>
  <si>
    <t>Parte General</t>
  </si>
  <si>
    <t>Parte Especifica</t>
  </si>
  <si>
    <t>Grupo I</t>
  </si>
  <si>
    <t>Grupo II</t>
  </si>
  <si>
    <t>Examen 1</t>
  </si>
  <si>
    <t>Red.es</t>
  </si>
  <si>
    <t>Temario</t>
  </si>
  <si>
    <t>Analista Funcional P01</t>
  </si>
  <si>
    <t>Analista de Aplicaciones P02</t>
  </si>
  <si>
    <t>Ingeniero de Desarrollo P06</t>
  </si>
  <si>
    <t>Ingeniero de Sistemas P08</t>
  </si>
  <si>
    <t>Ley Orgánica 3/2007, de 22 de marzo, para la Igualdad efectiva</t>
  </si>
  <si>
    <t>ID</t>
  </si>
  <si>
    <t>FID</t>
  </si>
  <si>
    <t>Elemento</t>
  </si>
  <si>
    <t>Hipervinculo</t>
  </si>
  <si>
    <t>Buscar Oposiciones</t>
  </si>
  <si>
    <t>Oposiciones En Curso</t>
  </si>
  <si>
    <t>Oposiciones Finalizadas</t>
  </si>
  <si>
    <t>UPM 2023</t>
  </si>
  <si>
    <t>Mostoles 2023</t>
  </si>
  <si>
    <t>Asamblea de Madrid 2023</t>
  </si>
  <si>
    <t>Seguimiento Candidaturas</t>
  </si>
  <si>
    <t>Madrid Digital 2023</t>
  </si>
  <si>
    <t>Esquema Nacional de Seguridad</t>
  </si>
  <si>
    <t>Estrategia de ciberseguridad 2019</t>
  </si>
  <si>
    <t>Titulo</t>
  </si>
  <si>
    <t>Video</t>
  </si>
  <si>
    <t>Enlace</t>
  </si>
  <si>
    <t>Apunte</t>
  </si>
  <si>
    <t>TIPO</t>
  </si>
  <si>
    <t>CONTENIDO</t>
  </si>
  <si>
    <t>Texto de la ley</t>
  </si>
  <si>
    <t>NOMBRE</t>
  </si>
  <si>
    <t>https://www.boe.es/buscar/act.php?id=BOE-A-2022-7191</t>
  </si>
  <si>
    <t>https://www.boe.es/buscar/act.php?id=BOE-A-2022-7190</t>
  </si>
  <si>
    <t>https://www.youtube.com/watch?v=5behMnb9T6k</t>
  </si>
  <si>
    <t>Video1</t>
  </si>
  <si>
    <t>Video2</t>
  </si>
  <si>
    <t>Apuntes01</t>
  </si>
  <si>
    <t>Apuntes02</t>
  </si>
  <si>
    <t>URL</t>
  </si>
  <si>
    <t>Resumen Capítulo I: Disposiciones Generales</t>
  </si>
  <si>
    <t>&lt;![CDATA[
&lt;b&gt;Definición:&lt;/b&gt; Se establecen los principios básicos y requisitos mínimos para asegurar la protección adecuada de los datos, informaciones, documentos, servicios y sistemas de comunicaciones que permitan el ejercicio de derechos y el cumplimiento de deberes a través de medios electrónicos1.&lt;br/&gt;&lt;br/&gt;
&lt;b&gt;Objetivo:&lt;/b&gt; Establecer la política de seguridad en materia de administración electrónica1.&lt;br/&gt;&lt;br/&gt;
&lt;b&gt;Ámbito de aplicación:&lt;/b&gt; Afecta a la Administración General del Estado, las Administraciones de las Comunidades Autónomas y las Entidades que integran la Administración Local1.&lt;br/&gt;&lt;br/&gt;
&lt;b&gt;Estándar:&lt;/b&gt; Se menciona el estándar ISO/IEC 27001, que establece los requisitos para los Sistemas de Gestión de la Seguridad de la Información1.&lt;br/&gt;&lt;br/&gt;
Este capítulo sienta las bases para la seguridad en la administración electrónica, definiendo su alcance y los estándares a seguir para proteger la información y los sistemas que se utilizan en el ámbito público. Si necesitas más detalles o información sobre otros capítulos, no dudes en preguntar.]]&gt;</t>
  </si>
  <si>
    <t>&lt;![CDATA[
&lt;p style="margin: 1em 0px 0px; padding: 0px; font-size: 16px; font-weight: bold; color: rgb(0, 0, 0); font-family: verdana, arial, sans-serif; font-style: normal; font-variant-ligatures: normal; font-variant-caps: normal; letter-spacing: normal; orphans: 2; text-align: start; text-indent: 0px; text-transform: none; widows: 2; word-spacing: 0px; -webkit-text-stroke-width: 0px; white-space: normal; text-decoration-thickness: initial; text-decoration-style: initial; text-decoration-color: initial;"&gt;
        &lt;a href="https://www.boe.es/buscar/act.php?id=BOE-A-2022-7191&amp;amp;p=20220504&amp;amp;tn=1#ci" style="margin: 0px; padding: 0px; font-size: 16px; color: rgb(18, 58, 99); text-decoration: none;"&gt;CAPÍTULO I. Disposiciones generales&lt;/a&gt;&lt;/p&gt;
    &lt;ul style="font-size: 16px; color: rgb(0, 0, 0); font-family: verdana, arial, sans-serif; font-style: normal; font-variant-ligatures: normal; font-variant-caps: normal; font-weight: 400; letter-spacing: normal; orphans: 2; text-align: start; text-indent: 0px; text-transform: none; widows: 2; word-spacing: 0px; -webkit-text-stroke-width: 0px; white-space: normal; text-decoration-thickness: initial; text-decoration-style: initial; text-decoration-color: initial;"&gt;
        &lt;li style="list-style: outside none none; padding: 0.5em 0px;"&gt;&lt;a href="https://www.boe.es/buscar/act.php?id=BOE-A-2022-7191&amp;amp;p=20220504&amp;amp;tn=1#a1" style="margin: 0px; padding: 0px; font-size: 16px; color: rgb(18, 58, 99); text-decoration: none;"&gt;Artículo 1. Objeto.&lt;/a&gt;&lt;/li&gt;]]&gt;
        &lt;li style="list-style: outside none none; padding: 0.5em 0px;"&gt;&lt;a href="https://www.boe.es/buscar/act.php?id=BOE-A-2022-7191&amp;amp;p=20220504&amp;amp;tn=1#a2" style="margin: 0px; padding: 0px; font-size: 16px; color: rgb(18, 58, 99); text-decoration: none;"&gt;Artículo 2. Ámbito de aplicación.&lt;/a&gt;&lt;/li&gt;
        &lt;li style="list-style: outside none none; padding: 0.5em 0px;"&gt;&lt;a href="https://www.boe.es/buscar/act.php?id=BOE-A-2022-7191&amp;amp;p=20220504&amp;amp;tn=1#a3" style="margin: 0px; padding: 0px; font-size: 16px; color: rgb(18, 58, 99); text-decoration: none;"&gt;Artículo 3. Sistemas de información que traten datos personales.&lt;/a&gt;&lt;/li&gt;
        &lt;li style="list-style: outside none none; padding: 0.5em 0px;"&gt;&lt;a href="https://www.boe.es/buscar/act.php?id=BOE-A-2022-7191&amp;amp;p=20220504&amp;amp;tn=1#a4" style="margin: 0px; padding: 0px; font-size: 16px; color: rgb(18, 58, 99); text-decoration: none;"&gt;Artículo 4. Definiciones.&lt;/a&gt;&lt;/li&gt;
    &lt;/ul&gt;</t>
  </si>
  <si>
    <t>CAPÍTULO I. Disposiciones generales</t>
  </si>
  <si>
    <t>Políticas de Igualdad de Género, como la Ley Orgánica 3/2007, de 22 de marzo, para la Igualdad efectiva de mujeres y hombres</t>
  </si>
  <si>
    <t>Administración Pública Digital: Plan de Digitalización de las AAPP. Las TIC en la Ley 39/2015 y en Ley 40/2015: Derechos de las personas en sus relaciones con las AA.PP.  Archivo electrónico Punto de Acceso General Registro Electrónico General, y relaciones electrónicas entre Administraciones Registros electrónicos de apoderamientos, Sistemas de identificación de los interesados y mecanismos de firma electrónica Notificaciones electrónicas Documentos electrónicos: emisión y remisión de documentos</t>
  </si>
  <si>
    <t>Esquema Nacional de Seguridad y estrategia de ciberseguridad 2019. Vulnerabilidades, amenazas e incidentes de seguridad: conceptos y relaciones,</t>
  </si>
  <si>
    <t>Gestión de Proveedores - Gestión de proveedores e Indicadores en la Gestión de Servicios (SLA´s, KPI´s, OLA´s, etc.)</t>
  </si>
  <si>
    <t>Dirección y gestión de proyectos de tecnologías de la información. Planificación estratégica, gestión de recursos, seguimiento de proyectos, toma de decisiones. Metodologías predictivas (GANTT, PERT), Ágiles y Lean.</t>
  </si>
  <si>
    <t>Metodologías Colaborativas (AGILE): Scrum, Kanbas y DevOps</t>
  </si>
  <si>
    <t>Diseño y Programación. Orientación a la experiencia de usuario (UX) y a un diseño/programación orientado a componentes y a la omnicanalidad-movilidad. Diseño y programación basado en APIS, Microservicios, Contenedores y Eventos.</t>
  </si>
  <si>
    <t>Calidad en los Sistemas de Información: Calidad de código, seguridad y accesibilidad. Pruebas Unitarias, de cobertura y rendimiento.</t>
  </si>
  <si>
    <t>Calidad de los Sistemas de Información: Pruebas de integración, funcionales y rendimiento.</t>
  </si>
  <si>
    <t>Auditorías de tecnologías de la información. Indicadores técnicos para la calidad de los sistemas de información.</t>
  </si>
  <si>
    <t xml:space="preserve"> xml/ContenidosENS.xml</t>
  </si>
  <si>
    <t>html/contenidos/IgualdadDeGenero_LeyOrganica32_007.html</t>
  </si>
  <si>
    <t>html/contenidos/EstrategiaCiberseguridad2019.htm</t>
  </si>
  <si>
    <t>html/contenidos/GestionDeProveedoresIndicadores.htm</t>
  </si>
  <si>
    <t>html/contenidos/ENS.htm</t>
  </si>
  <si>
    <t>Planificación estratégica Proyectos IT</t>
  </si>
  <si>
    <t>Gestión de recursos Proyectos IT</t>
  </si>
  <si>
    <t>Seguimiento de proyectos IT</t>
  </si>
  <si>
    <t>Toma de decisiones Proyectos IT</t>
  </si>
  <si>
    <t>html/contenidos/Proyectos IT_PlanificacionEstrategica.htm</t>
  </si>
  <si>
    <t>html/contenidos/Proyectos IT_GestionDeRecursos.htm</t>
  </si>
  <si>
    <t>html/contenidos/Proyectos IT_SeguimientoDeProyectos.htm</t>
  </si>
  <si>
    <t>html/contenidos/Proyectos IT_TomaDeDecisiones.htm</t>
  </si>
  <si>
    <t>AGILE Scrum</t>
  </si>
  <si>
    <t>AGILE Kanbas</t>
  </si>
  <si>
    <t>AGILE DevOps</t>
  </si>
  <si>
    <t>html/contenidos/AGILE_Scrum.htm</t>
  </si>
  <si>
    <t>html/contenidos/AGILE_Kanbas.htm</t>
  </si>
  <si>
    <t>Plan de Digitalización de las AAPP</t>
  </si>
  <si>
    <t>Las TIC en la Ley 39/2015</t>
  </si>
  <si>
    <t>Las TIC en la Ley 40/2015</t>
  </si>
  <si>
    <t>html/contenidos/PlandeDigitalizacionDeLasAAPP.htm</t>
  </si>
  <si>
    <t>html/contenidos/Ley_39_2015.htm</t>
  </si>
  <si>
    <t>html/contenidos/Ley_40_2015.htm</t>
  </si>
  <si>
    <t>Orientación a la experiencia de usuario (UX)</t>
  </si>
  <si>
    <t>Diseño y programación orientado a componentes</t>
  </si>
  <si>
    <t>Diseño y programación basado en APIS, Microservicios, Contenedores y Eventos</t>
  </si>
  <si>
    <t>Omnicanalidad-movilidad</t>
  </si>
  <si>
    <t>html/contenidos/ExperienciaDeUsuarioUX.htm</t>
  </si>
  <si>
    <t>html/contenidos/ProgramacionOrientadaAComponentes.htm</t>
  </si>
  <si>
    <t>html/contenidos/OmnicanalidadMovilidad.htm</t>
  </si>
  <si>
    <t>html/contenidos/APIS_Microservicios_Contenedores_Eventos.htm</t>
  </si>
  <si>
    <t>html/contenidos/MetodologiasPredictivas_GANTT_PERT.htm</t>
  </si>
  <si>
    <t>Ágiles y Lean</t>
  </si>
  <si>
    <t>Metodologías predictivas (GANTT, PERT)</t>
  </si>
  <si>
    <t>F:\Dropbox\02 - Opos\998_Temarios\Audios\</t>
  </si>
  <si>
    <t>Ruta Base Audio:</t>
  </si>
  <si>
    <t>Gestión de proveedores e Indicadores en la Gestión de Servicios.mp3</t>
  </si>
  <si>
    <t>Ruta Base Web:</t>
  </si>
  <si>
    <t>LUGAR</t>
  </si>
  <si>
    <t>VALOR</t>
  </si>
  <si>
    <t>H</t>
  </si>
  <si>
    <t>Audio</t>
  </si>
  <si>
    <t>Experiencia de Usuarios (UX).mp3</t>
  </si>
  <si>
    <t>Gestión de recursos en proyectos de tecnologías de la información (TI).mp3</t>
  </si>
  <si>
    <t>Proyectos Planificacion Estrategica.mp3</t>
  </si>
  <si>
    <t>Metodologias Predictivas_GANTT_PERT.mp3</t>
  </si>
  <si>
    <t>Seguimiento de proyectos.mp3</t>
  </si>
  <si>
    <t>Toma de decisiones en proyectos IT.mp3</t>
  </si>
  <si>
    <t>html/contenidos/AgileyLean.htm</t>
  </si>
  <si>
    <t>Metodologías ágiles y Lean.mp3</t>
  </si>
  <si>
    <t>html/contenidos/DevOps.htm</t>
  </si>
  <si>
    <t>W</t>
  </si>
  <si>
    <t>Fines y funciones del IDAE. Información disponible en la página web corporativa https://www.idae.es/home, incluyendo últimas líneas de ayudas y principales acciones desarrolladas.</t>
  </si>
  <si>
    <t>Real Decreto 18/2014, de 17 de enero, por el que se aprueba el Estatuto del Instituto para la Diversificación y Ahorro de la Energía (IDAE).</t>
  </si>
  <si>
    <t>Plan de Recuperación, Transformación y Resiliencia, en lo relativo a las componentes a ejecutar por el Ministerio para la Transición Ecológica y el RetoDemográfico.</t>
  </si>
  <si>
    <t>Ley 38/2003, de 17 de noviembre, General de Subvenciones y su reglamento asociado.</t>
  </si>
  <si>
    <t>Gestión de proyectos TI.</t>
  </si>
  <si>
    <t>Lenguajes para la definición y manipulación de datos en sistemas de base de datos relacionales. Lenguaje SQL.</t>
  </si>
  <si>
    <t>Diseño de bases de datos relacionales. Modelo entidad-relación. Normalización.</t>
  </si>
  <si>
    <t>Administración de sistemas de base de datos. Gestión de usuarios, configuración de copias de seguridad, generación de índices, actualización de versiones,</t>
  </si>
  <si>
    <t>Sistemas de inteligencia de negocios. Dashboards, consultas ad hoc y análisis de información.</t>
  </si>
  <si>
    <t>Administración electrónica. Sistemas de identificación, comunicaciones y notificaciones electrónicas, firma electrónica y certificados, expedientes y archivo electrónico.</t>
  </si>
  <si>
    <t>Lenguajes de programación: .NET y PHP.</t>
  </si>
  <si>
    <t>IDAE</t>
  </si>
  <si>
    <t>C:\kk\ApuntillosWeb</t>
  </si>
  <si>
    <t>C:\Users\Adrian\Documents\My Web Sites\ApuntillosWeb</t>
  </si>
  <si>
    <t>html/contenidos/IDEA_Real Decreto_18_2014.htm</t>
  </si>
  <si>
    <t>html/contenidos/CalidadDelCodigoSeguridadAccesibilidad.htm</t>
  </si>
  <si>
    <t>html/contenidos/PruebasIntegracionFuncionalesRendimiento.htm</t>
  </si>
  <si>
    <t>html/contenidos/AuditoriaIndicadoresTecnicosCalidadSistemasDeInformación.htm</t>
  </si>
  <si>
    <t>html/contenidos/ITIL.html</t>
  </si>
  <si>
    <t>Arquitecturas Cloud y Sistemas On-premise</t>
  </si>
  <si>
    <t>Artitecturas de comunicación LAN/WAN y entornos CLOUD</t>
  </si>
  <si>
    <t>html/contenidos/ArquiecturasCloudySistemasOnPremise.html</t>
  </si>
  <si>
    <t>html/contenidos/ArqueComunicacionLANWANyEntornosCLOUD.html</t>
  </si>
  <si>
    <t>ITIL</t>
  </si>
  <si>
    <t>Estrategia de negocio y Gobernanza (ITIL,CCMi, etc)</t>
  </si>
  <si>
    <t>html/contenidos/ITIL_CCMI.html</t>
  </si>
  <si>
    <t>html/contenidos/Ley38_2003_Subvenciones.htm</t>
  </si>
  <si>
    <t>html/contenidos/FinesyFuncionesDelIDAE2.htm</t>
  </si>
  <si>
    <t>html/contenidos/PlanRecuperacionTransformacionResiliencia.htm</t>
  </si>
  <si>
    <t>html/contenidos/SQL.htm</t>
  </si>
  <si>
    <t>html/contenidos/BBDDD_Relacionales_ER.htm</t>
  </si>
  <si>
    <t>html/contenidos/Administracion_BBDDD.htm</t>
  </si>
  <si>
    <t>html/contenidos/SistemasInteligenciaDeNegocio.htm</t>
  </si>
  <si>
    <t>html/contenidos/GestionDeProcesosDeNegocio.htm</t>
  </si>
  <si>
    <t>Gestión de Procesos de Negocio (BPM)</t>
  </si>
  <si>
    <t>Arquitecturas Orientadas a Servicios (SOA)</t>
  </si>
  <si>
    <t>html/contenidos/ArquitecturasOrientadasServicios_SOA.htm</t>
  </si>
  <si>
    <t>html/contenidos/PHP.htm</t>
  </si>
  <si>
    <t>html/contenidos/Administracion_electronica.htm</t>
  </si>
  <si>
    <t>Gestores documentales</t>
  </si>
  <si>
    <t>Arquitectura, Interoperabilidad de sistemas y aplicaciones</t>
  </si>
  <si>
    <t>html/contenidos/ArquitecturaInteroperabilidad.htm</t>
  </si>
  <si>
    <t>html/contenidos/GestoresDocumentales.htm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</si>
</sst>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1">
    <xf numFmtId="0" fontId="0" fillId="0" borderId="0" xfId="0"/>
    <xf numFmtId="0" fontId="0" fillId="2" borderId="0" xfId="0" applyFill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0" borderId="1" xfId="0" applyBorder="1"/>
    <xf numFmtId="0" fontId="0" fillId="0" borderId="1" xfId="0" applyFill="1" applyBorder="1"/>
    <xf numFmtId="0" fontId="0" fillId="2" borderId="1" xfId="0" applyFill="1" applyBorder="1"/>
    <xf numFmtId="0" fontId="0" fillId="0" borderId="1" xfId="0" applyBorder="1" applyAlignment="1">
      <alignment wrapText="1"/>
    </xf>
    <xf numFmtId="0" fontId="3" fillId="6" borderId="1" xfId="0" applyFont="1" applyFill="1" applyBorder="1"/>
    <xf numFmtId="0" fontId="1" fillId="7" borderId="1" xfId="0" applyFont="1" applyFill="1" applyBorder="1"/>
    <xf numFmtId="0" fontId="0" fillId="7" borderId="1" xfId="0" applyFill="1" applyBorder="1"/>
    <xf numFmtId="0" fontId="2" fillId="0" borderId="1" xfId="1" applyBorder="1"/>
    <xf numFmtId="0" fontId="0" fillId="0" borderId="0" xfId="0" applyAlignment="1">
      <alignment wrapText="1"/>
    </xf>
    <xf numFmtId="0" fontId="0" fillId="0" borderId="1" xfId="0" applyBorder="1" applyAlignment="1"/>
    <xf numFmtId="0" fontId="0" fillId="0" borderId="0" xfId="0" applyBorder="1" applyAlignment="1">
      <alignment horizontal="center"/>
    </xf>
    <xf numFmtId="49" fontId="0" fillId="0" borderId="0" xfId="0" applyNumberFormat="1" applyBorder="1" applyAlignment="1">
      <alignment horizontal="center"/>
    </xf>
    <xf numFmtId="49" fontId="0" fillId="0" borderId="2" xfId="0" applyNumberFormat="1" applyBorder="1" applyAlignment="1">
      <alignment horizontal="center" wrapText="1"/>
    </xf>
    <xf numFmtId="0" fontId="1" fillId="0" borderId="0" xfId="0" applyFont="1"/>
    <xf numFmtId="0" fontId="5" fillId="3" borderId="0" xfId="0" applyFont="1" applyFill="1"/>
    <xf numFmtId="0" fontId="0" fillId="0" borderId="1" xfId="0" applyFill="1" applyBorder="1" applyAlignment="1">
      <alignment wrapText="1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www.boe.es/buscar/act.php?id=BOE-A-2022-7191" TargetMode="External"/><Relationship Id="rId1" Type="http://schemas.openxmlformats.org/officeDocument/2006/relationships/hyperlink" Target="https://www.boe.es/buscar/act.php?id=BOE-A-2022-719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F81"/>
  <sheetViews>
    <sheetView tabSelected="1" topLeftCell="A78" zoomScale="115" zoomScaleNormal="115" workbookViewId="0">
      <selection activeCell="D72" sqref="D72"/>
    </sheetView>
  </sheetViews>
  <sheetFormatPr baseColWidth="10" defaultRowHeight="14.5" x14ac:dyDescent="0.35"/>
  <cols>
    <col min="1" max="1" width="5" bestFit="1" customWidth="1"/>
    <col min="2" max="2" width="3.54296875" bestFit="1" customWidth="1"/>
    <col min="3" max="3" width="60.08984375" customWidth="1"/>
    <col min="4" max="4" width="57" bestFit="1" customWidth="1"/>
    <col min="5" max="5" width="44.6328125" customWidth="1"/>
    <col min="6" max="6" width="42.453125" customWidth="1"/>
  </cols>
  <sheetData>
    <row r="1" spans="1:5" s="1" customFormat="1" x14ac:dyDescent="0.35">
      <c r="A1" s="7" t="s">
        <v>28</v>
      </c>
      <c r="B1" s="7" t="s">
        <v>29</v>
      </c>
      <c r="C1" s="7" t="s">
        <v>30</v>
      </c>
      <c r="D1" s="7" t="s">
        <v>31</v>
      </c>
      <c r="E1" s="1" t="s">
        <v>114</v>
      </c>
    </row>
    <row r="2" spans="1:5" x14ac:dyDescent="0.35">
      <c r="A2" s="2">
        <v>1</v>
      </c>
      <c r="B2" s="2">
        <v>0</v>
      </c>
      <c r="C2" s="2" t="s">
        <v>0</v>
      </c>
      <c r="D2" s="2"/>
    </row>
    <row r="3" spans="1:5" x14ac:dyDescent="0.35">
      <c r="A3" s="3">
        <v>2</v>
      </c>
      <c r="B3" s="3">
        <v>1</v>
      </c>
      <c r="C3" s="3" t="s">
        <v>38</v>
      </c>
      <c r="D3" s="3"/>
    </row>
    <row r="4" spans="1:5" x14ac:dyDescent="0.35">
      <c r="A4" s="2">
        <v>3</v>
      </c>
      <c r="B4" s="2">
        <v>1</v>
      </c>
      <c r="C4" s="2" t="s">
        <v>33</v>
      </c>
      <c r="D4" s="2"/>
    </row>
    <row r="5" spans="1:5" x14ac:dyDescent="0.35">
      <c r="A5" s="2">
        <v>4</v>
      </c>
      <c r="B5" s="2">
        <v>1</v>
      </c>
      <c r="C5" s="2" t="s">
        <v>32</v>
      </c>
      <c r="D5" s="2" t="s">
        <v>5</v>
      </c>
    </row>
    <row r="6" spans="1:5" x14ac:dyDescent="0.35">
      <c r="A6" s="2">
        <v>5</v>
      </c>
      <c r="B6" s="2">
        <v>1</v>
      </c>
      <c r="C6" s="2" t="s">
        <v>34</v>
      </c>
      <c r="D6" s="2"/>
    </row>
    <row r="7" spans="1:5" x14ac:dyDescent="0.35">
      <c r="A7" s="3">
        <v>6</v>
      </c>
      <c r="B7" s="3">
        <v>2</v>
      </c>
      <c r="C7" s="3" t="s">
        <v>1</v>
      </c>
      <c r="D7" s="3" t="s">
        <v>2</v>
      </c>
    </row>
    <row r="8" spans="1:5" x14ac:dyDescent="0.35">
      <c r="A8" s="3">
        <v>7</v>
      </c>
      <c r="B8" s="3">
        <v>2</v>
      </c>
      <c r="C8" s="3" t="s">
        <v>3</v>
      </c>
      <c r="D8" s="3" t="s">
        <v>4</v>
      </c>
    </row>
    <row r="9" spans="1:5" x14ac:dyDescent="0.35">
      <c r="A9" s="4">
        <v>8</v>
      </c>
      <c r="B9" s="4">
        <v>3</v>
      </c>
      <c r="C9" s="4" t="s">
        <v>6</v>
      </c>
      <c r="D9" s="4"/>
    </row>
    <row r="10" spans="1:5" x14ac:dyDescent="0.35">
      <c r="A10" s="5">
        <v>9</v>
      </c>
      <c r="B10" s="5">
        <v>8</v>
      </c>
      <c r="C10" s="5" t="s">
        <v>7</v>
      </c>
      <c r="D10" s="5"/>
    </row>
    <row r="11" spans="1:5" x14ac:dyDescent="0.35">
      <c r="A11" s="4">
        <v>10</v>
      </c>
      <c r="B11" s="4">
        <v>3</v>
      </c>
      <c r="C11" s="4" t="s">
        <v>39</v>
      </c>
      <c r="D11" s="4"/>
    </row>
    <row r="12" spans="1:5" x14ac:dyDescent="0.35">
      <c r="A12" s="5">
        <v>11</v>
      </c>
      <c r="B12" s="5">
        <v>10</v>
      </c>
      <c r="C12" s="5" t="s">
        <v>8</v>
      </c>
      <c r="D12" s="5" t="s">
        <v>9</v>
      </c>
    </row>
    <row r="13" spans="1:5" x14ac:dyDescent="0.35">
      <c r="A13" s="5">
        <v>12</v>
      </c>
      <c r="B13" s="5">
        <v>10</v>
      </c>
      <c r="C13" s="5" t="s">
        <v>23</v>
      </c>
      <c r="D13" s="5"/>
    </row>
    <row r="14" spans="1:5" ht="29" x14ac:dyDescent="0.35">
      <c r="A14" s="5">
        <v>32</v>
      </c>
      <c r="B14" s="5">
        <v>12</v>
      </c>
      <c r="C14" s="8" t="s">
        <v>62</v>
      </c>
      <c r="D14" s="5"/>
    </row>
    <row r="15" spans="1:5" x14ac:dyDescent="0.35">
      <c r="A15" s="5">
        <v>42</v>
      </c>
      <c r="B15" s="5">
        <v>32</v>
      </c>
      <c r="C15" s="5" t="s">
        <v>27</v>
      </c>
      <c r="D15" s="5" t="s">
        <v>73</v>
      </c>
    </row>
    <row r="16" spans="1:5" ht="116" x14ac:dyDescent="0.35">
      <c r="A16" s="5">
        <v>33</v>
      </c>
      <c r="B16" s="5">
        <v>12</v>
      </c>
      <c r="C16" s="8" t="s">
        <v>63</v>
      </c>
      <c r="D16" s="5"/>
    </row>
    <row r="17" spans="1:6" x14ac:dyDescent="0.35">
      <c r="A17" s="5">
        <v>52</v>
      </c>
      <c r="B17" s="5">
        <v>33</v>
      </c>
      <c r="C17" s="8" t="s">
        <v>90</v>
      </c>
      <c r="D17" s="5" t="s">
        <v>93</v>
      </c>
    </row>
    <row r="18" spans="1:6" x14ac:dyDescent="0.35">
      <c r="A18" s="5">
        <v>53</v>
      </c>
      <c r="B18" s="5">
        <v>33</v>
      </c>
      <c r="C18" s="8" t="s">
        <v>91</v>
      </c>
      <c r="D18" s="5" t="s">
        <v>94</v>
      </c>
    </row>
    <row r="19" spans="1:6" x14ac:dyDescent="0.35">
      <c r="A19" s="5">
        <v>54</v>
      </c>
      <c r="B19" s="5">
        <v>33</v>
      </c>
      <c r="C19" s="8" t="s">
        <v>92</v>
      </c>
      <c r="D19" s="5" t="s">
        <v>95</v>
      </c>
    </row>
    <row r="20" spans="1:6" ht="43.5" x14ac:dyDescent="0.35">
      <c r="A20" s="5">
        <v>34</v>
      </c>
      <c r="B20" s="5">
        <v>12</v>
      </c>
      <c r="C20" s="8" t="s">
        <v>64</v>
      </c>
      <c r="D20" s="5"/>
    </row>
    <row r="21" spans="1:6" x14ac:dyDescent="0.35">
      <c r="A21" s="5">
        <v>43</v>
      </c>
      <c r="B21" s="5">
        <v>34</v>
      </c>
      <c r="C21" s="8" t="s">
        <v>40</v>
      </c>
      <c r="D21" s="5" t="s">
        <v>76</v>
      </c>
      <c r="F21" t="s">
        <v>72</v>
      </c>
    </row>
    <row r="22" spans="1:6" x14ac:dyDescent="0.35">
      <c r="A22" s="5">
        <v>44</v>
      </c>
      <c r="B22" s="5">
        <v>34</v>
      </c>
      <c r="C22" s="8" t="s">
        <v>41</v>
      </c>
      <c r="D22" s="5" t="s">
        <v>74</v>
      </c>
    </row>
    <row r="23" spans="1:6" ht="29" x14ac:dyDescent="0.35">
      <c r="A23" s="5">
        <v>35</v>
      </c>
      <c r="B23" s="5">
        <v>12</v>
      </c>
      <c r="C23" s="8" t="s">
        <v>65</v>
      </c>
      <c r="D23" s="8" t="s">
        <v>75</v>
      </c>
      <c r="E23" t="s">
        <v>109</v>
      </c>
    </row>
    <row r="24" spans="1:6" ht="58" x14ac:dyDescent="0.35">
      <c r="A24" s="5">
        <v>36</v>
      </c>
      <c r="B24" s="5">
        <v>12</v>
      </c>
      <c r="C24" s="8" t="s">
        <v>66</v>
      </c>
      <c r="D24" s="5"/>
    </row>
    <row r="25" spans="1:6" x14ac:dyDescent="0.35">
      <c r="A25" s="5">
        <v>45</v>
      </c>
      <c r="B25" s="5">
        <v>36</v>
      </c>
      <c r="C25" s="8" t="s">
        <v>77</v>
      </c>
      <c r="D25" s="5" t="s">
        <v>81</v>
      </c>
      <c r="E25" t="s">
        <v>117</v>
      </c>
    </row>
    <row r="26" spans="1:6" x14ac:dyDescent="0.35">
      <c r="A26" s="5">
        <v>46</v>
      </c>
      <c r="B26" s="5">
        <v>36</v>
      </c>
      <c r="C26" s="8" t="s">
        <v>78</v>
      </c>
      <c r="D26" s="5" t="s">
        <v>82</v>
      </c>
      <c r="E26" t="s">
        <v>116</v>
      </c>
    </row>
    <row r="27" spans="1:6" x14ac:dyDescent="0.35">
      <c r="A27" s="5">
        <v>47</v>
      </c>
      <c r="B27" s="5">
        <v>36</v>
      </c>
      <c r="C27" s="8" t="s">
        <v>79</v>
      </c>
      <c r="D27" s="5" t="s">
        <v>83</v>
      </c>
      <c r="E27" t="s">
        <v>119</v>
      </c>
    </row>
    <row r="28" spans="1:6" x14ac:dyDescent="0.35">
      <c r="A28" s="5">
        <v>48</v>
      </c>
      <c r="B28" s="5">
        <v>36</v>
      </c>
      <c r="C28" s="8" t="s">
        <v>80</v>
      </c>
      <c r="D28" s="5" t="s">
        <v>84</v>
      </c>
      <c r="E28" t="s">
        <v>120</v>
      </c>
    </row>
    <row r="29" spans="1:6" x14ac:dyDescent="0.35">
      <c r="A29" s="5">
        <v>59</v>
      </c>
      <c r="B29" s="5">
        <v>36</v>
      </c>
      <c r="C29" s="8" t="s">
        <v>106</v>
      </c>
      <c r="D29" s="5" t="s">
        <v>104</v>
      </c>
      <c r="E29" t="s">
        <v>118</v>
      </c>
    </row>
    <row r="30" spans="1:6" x14ac:dyDescent="0.35">
      <c r="A30" s="5">
        <v>60</v>
      </c>
      <c r="B30" s="5">
        <v>36</v>
      </c>
      <c r="C30" s="8" t="s">
        <v>105</v>
      </c>
      <c r="D30" s="5" t="s">
        <v>121</v>
      </c>
      <c r="E30" t="s">
        <v>122</v>
      </c>
    </row>
    <row r="31" spans="1:6" x14ac:dyDescent="0.35">
      <c r="A31" s="5">
        <v>37</v>
      </c>
      <c r="B31" s="5">
        <v>12</v>
      </c>
      <c r="C31" s="8" t="s">
        <v>67</v>
      </c>
      <c r="D31" s="5"/>
    </row>
    <row r="32" spans="1:6" x14ac:dyDescent="0.35">
      <c r="A32" s="5">
        <v>49</v>
      </c>
      <c r="B32" s="5">
        <v>37</v>
      </c>
      <c r="C32" s="8" t="s">
        <v>85</v>
      </c>
      <c r="D32" s="5" t="s">
        <v>88</v>
      </c>
    </row>
    <row r="33" spans="1:5" x14ac:dyDescent="0.35">
      <c r="A33" s="5">
        <v>50</v>
      </c>
      <c r="B33" s="5">
        <v>37</v>
      </c>
      <c r="C33" s="8" t="s">
        <v>86</v>
      </c>
      <c r="D33" s="5" t="s">
        <v>89</v>
      </c>
    </row>
    <row r="34" spans="1:5" x14ac:dyDescent="0.35">
      <c r="A34" s="5">
        <v>51</v>
      </c>
      <c r="B34" s="5">
        <v>37</v>
      </c>
      <c r="C34" s="8" t="s">
        <v>87</v>
      </c>
      <c r="D34" s="5" t="s">
        <v>123</v>
      </c>
    </row>
    <row r="35" spans="1:5" ht="58" x14ac:dyDescent="0.35">
      <c r="A35" s="5">
        <v>38</v>
      </c>
      <c r="B35" s="5">
        <v>12</v>
      </c>
      <c r="C35" s="8" t="s">
        <v>68</v>
      </c>
      <c r="D35" s="5"/>
    </row>
    <row r="36" spans="1:5" x14ac:dyDescent="0.35">
      <c r="A36" s="5">
        <v>55</v>
      </c>
      <c r="B36" s="5">
        <v>38</v>
      </c>
      <c r="C36" s="8" t="s">
        <v>96</v>
      </c>
      <c r="D36" s="5" t="s">
        <v>100</v>
      </c>
      <c r="E36" t="s">
        <v>115</v>
      </c>
    </row>
    <row r="37" spans="1:5" x14ac:dyDescent="0.35">
      <c r="A37" s="5">
        <v>56</v>
      </c>
      <c r="B37" s="5">
        <v>38</v>
      </c>
      <c r="C37" s="8" t="s">
        <v>97</v>
      </c>
      <c r="D37" s="5" t="s">
        <v>101</v>
      </c>
    </row>
    <row r="38" spans="1:5" x14ac:dyDescent="0.35">
      <c r="A38" s="5">
        <v>57</v>
      </c>
      <c r="B38" s="5">
        <v>38</v>
      </c>
      <c r="C38" s="8" t="s">
        <v>99</v>
      </c>
      <c r="D38" s="5" t="s">
        <v>102</v>
      </c>
    </row>
    <row r="39" spans="1:5" ht="29" x14ac:dyDescent="0.35">
      <c r="A39" s="5">
        <v>58</v>
      </c>
      <c r="B39" s="5">
        <v>38</v>
      </c>
      <c r="C39" s="8" t="s">
        <v>98</v>
      </c>
      <c r="D39" s="5" t="s">
        <v>103</v>
      </c>
    </row>
    <row r="40" spans="1:5" ht="29" x14ac:dyDescent="0.35">
      <c r="A40" s="5">
        <v>39</v>
      </c>
      <c r="B40" s="5">
        <v>12</v>
      </c>
      <c r="C40" s="8" t="s">
        <v>69</v>
      </c>
      <c r="D40" s="5" t="s">
        <v>140</v>
      </c>
    </row>
    <row r="41" spans="1:5" ht="29" x14ac:dyDescent="0.35">
      <c r="A41" s="5">
        <v>40</v>
      </c>
      <c r="B41" s="5">
        <v>12</v>
      </c>
      <c r="C41" s="8" t="s">
        <v>70</v>
      </c>
      <c r="D41" s="5" t="s">
        <v>141</v>
      </c>
    </row>
    <row r="42" spans="1:5" ht="29" x14ac:dyDescent="0.35">
      <c r="A42" s="5">
        <v>41</v>
      </c>
      <c r="B42" s="5">
        <v>12</v>
      </c>
      <c r="C42" s="8" t="s">
        <v>71</v>
      </c>
      <c r="D42" s="5" t="s">
        <v>142</v>
      </c>
    </row>
    <row r="43" spans="1:5" x14ac:dyDescent="0.35">
      <c r="A43" s="5">
        <v>13</v>
      </c>
      <c r="B43" s="5">
        <v>10</v>
      </c>
      <c r="C43" s="5" t="s">
        <v>24</v>
      </c>
      <c r="D43" s="5"/>
    </row>
    <row r="44" spans="1:5" x14ac:dyDescent="0.35">
      <c r="A44" s="5">
        <v>14</v>
      </c>
      <c r="B44" s="5">
        <v>10</v>
      </c>
      <c r="C44" s="5" t="s">
        <v>25</v>
      </c>
    </row>
    <row r="45" spans="1:5" x14ac:dyDescent="0.35">
      <c r="A45" s="5">
        <v>77</v>
      </c>
      <c r="B45" s="5">
        <v>14</v>
      </c>
      <c r="C45" s="5" t="s">
        <v>148</v>
      </c>
      <c r="D45" s="5" t="s">
        <v>143</v>
      </c>
    </row>
    <row r="46" spans="1:5" x14ac:dyDescent="0.35">
      <c r="A46" s="5">
        <v>78</v>
      </c>
      <c r="B46" s="5">
        <v>14</v>
      </c>
      <c r="C46" s="5" t="s">
        <v>149</v>
      </c>
      <c r="D46" s="5" t="s">
        <v>150</v>
      </c>
    </row>
    <row r="47" spans="1:5" x14ac:dyDescent="0.35">
      <c r="A47" s="5">
        <v>15</v>
      </c>
      <c r="B47" s="5">
        <v>10</v>
      </c>
      <c r="C47" s="5" t="s">
        <v>26</v>
      </c>
      <c r="D47" s="5"/>
    </row>
    <row r="48" spans="1:5" x14ac:dyDescent="0.35">
      <c r="A48" s="5">
        <v>75</v>
      </c>
      <c r="B48" s="5">
        <v>15</v>
      </c>
      <c r="C48" s="5" t="s">
        <v>144</v>
      </c>
      <c r="D48" s="5" t="s">
        <v>146</v>
      </c>
    </row>
    <row r="49" spans="1:4" x14ac:dyDescent="0.35">
      <c r="A49" s="5">
        <v>76</v>
      </c>
      <c r="B49" s="5">
        <v>15</v>
      </c>
      <c r="C49" s="5" t="s">
        <v>145</v>
      </c>
      <c r="D49" s="5" t="s">
        <v>147</v>
      </c>
    </row>
    <row r="50" spans="1:4" x14ac:dyDescent="0.35">
      <c r="A50" s="4">
        <v>16</v>
      </c>
      <c r="B50" s="4">
        <v>3</v>
      </c>
      <c r="C50" s="4" t="s">
        <v>35</v>
      </c>
      <c r="D50" s="4"/>
    </row>
    <row r="51" spans="1:4" x14ac:dyDescent="0.35">
      <c r="A51" s="5">
        <v>17</v>
      </c>
      <c r="B51" s="5">
        <v>16</v>
      </c>
      <c r="C51" s="5" t="s">
        <v>10</v>
      </c>
      <c r="D51" s="5"/>
    </row>
    <row r="52" spans="1:4" x14ac:dyDescent="0.35">
      <c r="A52" s="5">
        <v>18</v>
      </c>
      <c r="B52" s="5">
        <v>16</v>
      </c>
      <c r="C52" s="5" t="s">
        <v>11</v>
      </c>
      <c r="D52" s="5"/>
    </row>
    <row r="53" spans="1:4" x14ac:dyDescent="0.35">
      <c r="A53" s="5">
        <v>19</v>
      </c>
      <c r="B53" s="5">
        <v>16</v>
      </c>
      <c r="C53" s="5" t="s">
        <v>12</v>
      </c>
      <c r="D53" s="5"/>
    </row>
    <row r="54" spans="1:4" x14ac:dyDescent="0.35">
      <c r="A54" s="5">
        <v>20</v>
      </c>
      <c r="B54" s="5">
        <v>16</v>
      </c>
      <c r="C54" s="5" t="s">
        <v>13</v>
      </c>
      <c r="D54" s="5"/>
    </row>
    <row r="55" spans="1:4" x14ac:dyDescent="0.35">
      <c r="A55" s="5">
        <v>21</v>
      </c>
      <c r="B55" s="5">
        <v>16</v>
      </c>
      <c r="C55" s="5" t="s">
        <v>14</v>
      </c>
      <c r="D55" s="5"/>
    </row>
    <row r="56" spans="1:4" x14ac:dyDescent="0.35">
      <c r="A56" s="5">
        <v>22</v>
      </c>
      <c r="B56" s="5">
        <v>16</v>
      </c>
      <c r="C56" s="5" t="s">
        <v>15</v>
      </c>
      <c r="D56" s="5"/>
    </row>
    <row r="57" spans="1:4" x14ac:dyDescent="0.35">
      <c r="A57" s="4">
        <v>23</v>
      </c>
      <c r="B57" s="4">
        <v>3</v>
      </c>
      <c r="C57" s="4" t="s">
        <v>36</v>
      </c>
      <c r="D57" s="4"/>
    </row>
    <row r="58" spans="1:4" x14ac:dyDescent="0.35">
      <c r="A58" s="5">
        <v>24</v>
      </c>
      <c r="B58" s="5">
        <v>22</v>
      </c>
      <c r="C58" s="5" t="s">
        <v>16</v>
      </c>
      <c r="D58" s="5"/>
    </row>
    <row r="59" spans="1:4" x14ac:dyDescent="0.35">
      <c r="A59" s="5">
        <v>25</v>
      </c>
      <c r="B59" s="5">
        <v>22</v>
      </c>
      <c r="C59" s="5" t="s">
        <v>17</v>
      </c>
      <c r="D59" s="5"/>
    </row>
    <row r="60" spans="1:4" x14ac:dyDescent="0.35">
      <c r="A60" s="4">
        <v>26</v>
      </c>
      <c r="B60" s="4">
        <v>3</v>
      </c>
      <c r="C60" s="4" t="s">
        <v>37</v>
      </c>
      <c r="D60" s="4"/>
    </row>
    <row r="61" spans="1:4" x14ac:dyDescent="0.35">
      <c r="A61" s="5">
        <v>27</v>
      </c>
      <c r="B61" s="5">
        <v>26</v>
      </c>
      <c r="C61" s="5" t="s">
        <v>18</v>
      </c>
      <c r="D61" s="5"/>
    </row>
    <row r="62" spans="1:4" x14ac:dyDescent="0.35">
      <c r="A62" s="5">
        <v>28</v>
      </c>
      <c r="B62" s="5">
        <v>26</v>
      </c>
      <c r="C62" s="5" t="s">
        <v>19</v>
      </c>
      <c r="D62" s="5"/>
    </row>
    <row r="63" spans="1:4" x14ac:dyDescent="0.35">
      <c r="A63" s="5">
        <v>29</v>
      </c>
      <c r="B63" s="5">
        <v>26</v>
      </c>
      <c r="C63" s="5" t="s">
        <v>20</v>
      </c>
      <c r="D63" s="5"/>
    </row>
    <row r="64" spans="1:4" x14ac:dyDescent="0.35">
      <c r="A64" s="5">
        <v>30</v>
      </c>
      <c r="B64" s="6">
        <v>3</v>
      </c>
      <c r="C64" s="5" t="s">
        <v>21</v>
      </c>
      <c r="D64" s="5"/>
    </row>
    <row r="65" spans="1:6" x14ac:dyDescent="0.35">
      <c r="A65" s="5">
        <v>31</v>
      </c>
      <c r="B65" s="6">
        <v>30</v>
      </c>
      <c r="C65" s="5" t="s">
        <v>22</v>
      </c>
      <c r="D65" s="5"/>
    </row>
    <row r="66" spans="1:6" x14ac:dyDescent="0.35">
      <c r="A66" s="4">
        <v>61</v>
      </c>
      <c r="B66" s="4">
        <v>3</v>
      </c>
      <c r="C66" s="4" t="s">
        <v>136</v>
      </c>
      <c r="D66" s="4"/>
    </row>
    <row r="67" spans="1:6" ht="43.5" x14ac:dyDescent="0.35">
      <c r="A67" s="5">
        <v>62</v>
      </c>
      <c r="B67" s="6">
        <v>61</v>
      </c>
      <c r="C67" s="8" t="s">
        <v>125</v>
      </c>
      <c r="D67" s="5" t="s">
        <v>152</v>
      </c>
    </row>
    <row r="68" spans="1:6" ht="43.5" x14ac:dyDescent="0.35">
      <c r="A68" s="5">
        <v>63</v>
      </c>
      <c r="B68" s="6">
        <v>61</v>
      </c>
      <c r="C68" s="8" t="s">
        <v>126</v>
      </c>
      <c r="D68" s="5" t="s">
        <v>139</v>
      </c>
    </row>
    <row r="69" spans="1:6" ht="43.5" x14ac:dyDescent="0.35">
      <c r="A69" s="5">
        <v>64</v>
      </c>
      <c r="B69" s="6">
        <v>61</v>
      </c>
      <c r="C69" s="8" t="s">
        <v>127</v>
      </c>
      <c r="D69" s="5" t="s">
        <v>153</v>
      </c>
    </row>
    <row r="70" spans="1:6" ht="29" x14ac:dyDescent="0.35">
      <c r="A70" s="5">
        <v>65</v>
      </c>
      <c r="B70" s="6">
        <v>61</v>
      </c>
      <c r="C70" s="8" t="s">
        <v>128</v>
      </c>
      <c r="D70" s="5" t="s">
        <v>151</v>
      </c>
    </row>
    <row r="71" spans="1:6" x14ac:dyDescent="0.35">
      <c r="A71" s="5">
        <v>66</v>
      </c>
      <c r="B71" s="6">
        <v>61</v>
      </c>
      <c r="C71" s="8" t="s">
        <v>129</v>
      </c>
      <c r="D71" s="5"/>
    </row>
    <row r="72" spans="1:6" ht="43.5" x14ac:dyDescent="0.35">
      <c r="A72" s="5">
        <v>67</v>
      </c>
      <c r="B72" s="6">
        <v>61</v>
      </c>
      <c r="C72" s="8" t="s">
        <v>130</v>
      </c>
      <c r="D72" s="5" t="s">
        <v>154</v>
      </c>
      <c r="F72" s="13" t="str">
        <f t="shared" ref="F72:F81" si="0">_xlfn.CONCAT("Porfavor, hablame sobre:",C72)</f>
        <v>Porfavor, hablame sobre:Lenguajes para la definición y manipulación de datos en sistemas de base de datos relacionales. Lenguaje SQL.</v>
      </c>
    </row>
    <row r="73" spans="1:6" ht="43.5" x14ac:dyDescent="0.35">
      <c r="A73" s="5">
        <v>68</v>
      </c>
      <c r="B73" s="6">
        <v>61</v>
      </c>
      <c r="C73" s="8" t="s">
        <v>131</v>
      </c>
      <c r="D73" s="5" t="s">
        <v>155</v>
      </c>
      <c r="F73" s="13" t="str">
        <f t="shared" si="0"/>
        <v>Porfavor, hablame sobre:Diseño de bases de datos relacionales. Modelo entidad-relación. Normalización.</v>
      </c>
    </row>
    <row r="74" spans="1:6" ht="58" x14ac:dyDescent="0.35">
      <c r="A74" s="5">
        <v>69</v>
      </c>
      <c r="B74" s="6">
        <v>61</v>
      </c>
      <c r="C74" s="8" t="s">
        <v>132</v>
      </c>
      <c r="D74" s="5" t="s">
        <v>156</v>
      </c>
      <c r="F74" s="13" t="str">
        <f t="shared" si="0"/>
        <v>Porfavor, hablame sobre:Administración de sistemas de base de datos. Gestión de usuarios, configuración de copias de seguridad, generación de índices, actualización de versiones,</v>
      </c>
    </row>
    <row r="75" spans="1:6" ht="43.5" x14ac:dyDescent="0.35">
      <c r="A75" s="5">
        <v>70</v>
      </c>
      <c r="B75" s="6">
        <v>61</v>
      </c>
      <c r="C75" s="8" t="s">
        <v>133</v>
      </c>
      <c r="D75" s="5" t="s">
        <v>157</v>
      </c>
      <c r="F75" s="13" t="str">
        <f t="shared" si="0"/>
        <v>Porfavor, hablame sobre:Sistemas de inteligencia de negocios. Dashboards, consultas ad hoc y análisis de información.</v>
      </c>
    </row>
    <row r="76" spans="1:6" ht="29" x14ac:dyDescent="0.35">
      <c r="A76" s="5">
        <v>71</v>
      </c>
      <c r="B76" s="6">
        <v>61</v>
      </c>
      <c r="C76" s="8" t="s">
        <v>159</v>
      </c>
      <c r="D76" s="5" t="s">
        <v>158</v>
      </c>
      <c r="F76" s="13" t="str">
        <f t="shared" si="0"/>
        <v>Porfavor, hablame sobre:Gestión de Procesos de Negocio (BPM)</v>
      </c>
    </row>
    <row r="77" spans="1:6" ht="29" x14ac:dyDescent="0.35">
      <c r="A77" s="5">
        <v>75</v>
      </c>
      <c r="B77" s="6">
        <v>61</v>
      </c>
      <c r="C77" s="8" t="s">
        <v>160</v>
      </c>
      <c r="D77" s="5" t="s">
        <v>161</v>
      </c>
      <c r="F77" s="13" t="str">
        <f>_xlfn.CONCAT("Porfavor, hablame sobre:",C77)</f>
        <v>Porfavor, hablame sobre:Arquitecturas Orientadas a Servicios (SOA)</v>
      </c>
    </row>
    <row r="78" spans="1:6" ht="72.5" x14ac:dyDescent="0.35">
      <c r="A78" s="5">
        <v>72</v>
      </c>
      <c r="B78" s="6">
        <v>61</v>
      </c>
      <c r="C78" s="8" t="s">
        <v>134</v>
      </c>
      <c r="D78" s="5" t="s">
        <v>163</v>
      </c>
      <c r="F78" s="13" t="str">
        <f>_xlfn.CONCAT("Porfavor, hablame sobre:",C78)</f>
        <v>Porfavor, hablame sobre:Administración electrónica. Sistemas de identificación, comunicaciones y notificaciones electrónicas, firma electrónica y certificados, expedientes y archivo electrónico.</v>
      </c>
    </row>
    <row r="79" spans="1:6" ht="29" x14ac:dyDescent="0.35">
      <c r="A79" s="5">
        <v>73</v>
      </c>
      <c r="B79" s="6">
        <v>61</v>
      </c>
      <c r="C79" s="8" t="s">
        <v>135</v>
      </c>
      <c r="D79" s="5" t="s">
        <v>162</v>
      </c>
      <c r="F79" s="13" t="str">
        <f t="shared" si="0"/>
        <v>Porfavor, hablame sobre:Lenguajes de programación: .NET y PHP.</v>
      </c>
    </row>
    <row r="80" spans="1:6" ht="29" x14ac:dyDescent="0.35">
      <c r="A80" s="5">
        <v>74</v>
      </c>
      <c r="B80" s="6">
        <v>61</v>
      </c>
      <c r="C80" s="8" t="s">
        <v>165</v>
      </c>
      <c r="D80" s="5" t="s">
        <v>166</v>
      </c>
      <c r="F80" s="13" t="str">
        <f t="shared" si="0"/>
        <v>Porfavor, hablame sobre:Arquitectura, Interoperabilidad de sistemas y aplicaciones</v>
      </c>
    </row>
    <row r="81" spans="1:6" x14ac:dyDescent="0.35">
      <c r="A81" s="6">
        <v>76</v>
      </c>
      <c r="B81" s="6">
        <v>61</v>
      </c>
      <c r="C81" s="20" t="s">
        <v>164</v>
      </c>
      <c r="D81" s="5" t="s">
        <v>167</v>
      </c>
      <c r="F81" s="13" t="str">
        <f t="shared" si="0"/>
        <v>Porfavor, hablame sobre:Gestores documentales</v>
      </c>
    </row>
  </sheetData>
  <autoFilter ref="A1:D65" xr:uid="{00000000-0001-0000-0000-000000000000}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F5934-E1B7-4404-BB75-68EF17981368}">
  <sheetPr codeName="Hoja3"/>
  <dimension ref="A1:C4"/>
  <sheetViews>
    <sheetView workbookViewId="0">
      <selection activeCell="C2" sqref="C2"/>
    </sheetView>
  </sheetViews>
  <sheetFormatPr baseColWidth="10" defaultRowHeight="14.5" x14ac:dyDescent="0.35"/>
  <cols>
    <col min="1" max="1" width="6.453125" bestFit="1" customWidth="1"/>
    <col min="2" max="2" width="17.6328125" customWidth="1"/>
    <col min="3" max="3" width="51.08984375" bestFit="1" customWidth="1"/>
  </cols>
  <sheetData>
    <row r="1" spans="1:3" x14ac:dyDescent="0.35">
      <c r="A1" s="19" t="s">
        <v>111</v>
      </c>
      <c r="B1" s="19" t="s">
        <v>49</v>
      </c>
      <c r="C1" s="19" t="s">
        <v>112</v>
      </c>
    </row>
    <row r="2" spans="1:3" x14ac:dyDescent="0.35">
      <c r="A2" t="s">
        <v>113</v>
      </c>
      <c r="B2" s="18" t="s">
        <v>108</v>
      </c>
      <c r="C2" t="s">
        <v>107</v>
      </c>
    </row>
    <row r="3" spans="1:3" x14ac:dyDescent="0.35">
      <c r="A3" t="s">
        <v>113</v>
      </c>
      <c r="B3" s="18" t="s">
        <v>110</v>
      </c>
      <c r="C3" t="s">
        <v>138</v>
      </c>
    </row>
    <row r="4" spans="1:3" x14ac:dyDescent="0.35">
      <c r="A4" t="s">
        <v>124</v>
      </c>
      <c r="B4" s="18" t="s">
        <v>110</v>
      </c>
      <c r="C4" t="s">
        <v>137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B26B7-05DF-4F69-95B6-CDE8D2177562}">
  <sheetPr codeName="Hoja2"/>
  <dimension ref="A1:H14"/>
  <sheetViews>
    <sheetView workbookViewId="0">
      <selection activeCell="A2" sqref="A2"/>
    </sheetView>
  </sheetViews>
  <sheetFormatPr baseColWidth="10" defaultRowHeight="14.5" x14ac:dyDescent="0.35"/>
  <cols>
    <col min="1" max="1" width="9.54296875" customWidth="1"/>
    <col min="2" max="2" width="27.08984375" bestFit="1" customWidth="1"/>
    <col min="3" max="3" width="49.08984375" bestFit="1" customWidth="1"/>
    <col min="4" max="4" width="26" customWidth="1"/>
  </cols>
  <sheetData>
    <row r="1" spans="1:8" ht="18.5" x14ac:dyDescent="0.45">
      <c r="A1" s="9" t="s">
        <v>46</v>
      </c>
      <c r="B1" s="9" t="s">
        <v>49</v>
      </c>
      <c r="C1" s="9" t="s">
        <v>57</v>
      </c>
      <c r="D1" s="9" t="s">
        <v>47</v>
      </c>
    </row>
    <row r="2" spans="1:8" x14ac:dyDescent="0.35">
      <c r="A2" s="10" t="s">
        <v>42</v>
      </c>
      <c r="B2" s="11" t="s">
        <v>40</v>
      </c>
      <c r="C2" s="5"/>
      <c r="D2" s="5"/>
    </row>
    <row r="3" spans="1:8" ht="7.4" customHeight="1" x14ac:dyDescent="0.35">
      <c r="A3" s="10"/>
      <c r="B3" s="11"/>
      <c r="C3" s="5"/>
      <c r="D3" s="5"/>
    </row>
    <row r="4" spans="1:8" x14ac:dyDescent="0.35">
      <c r="A4" s="10" t="s">
        <v>44</v>
      </c>
      <c r="B4" s="11" t="s">
        <v>48</v>
      </c>
      <c r="C4" s="12" t="s">
        <v>51</v>
      </c>
      <c r="D4" s="5"/>
    </row>
    <row r="5" spans="1:8" x14ac:dyDescent="0.35">
      <c r="A5" s="10" t="s">
        <v>44</v>
      </c>
      <c r="B5" s="11" t="s">
        <v>48</v>
      </c>
      <c r="C5" s="12" t="s">
        <v>50</v>
      </c>
      <c r="D5" s="5"/>
    </row>
    <row r="6" spans="1:8" ht="7.65" customHeight="1" x14ac:dyDescent="0.35">
      <c r="A6" s="10"/>
      <c r="B6" s="11"/>
      <c r="C6" s="5"/>
      <c r="D6" s="5"/>
    </row>
    <row r="7" spans="1:8" x14ac:dyDescent="0.35">
      <c r="A7" s="10" t="s">
        <v>43</v>
      </c>
      <c r="B7" s="11" t="s">
        <v>53</v>
      </c>
      <c r="C7" s="5" t="s">
        <v>52</v>
      </c>
      <c r="D7" s="5"/>
    </row>
    <row r="8" spans="1:8" x14ac:dyDescent="0.35">
      <c r="A8" s="10" t="s">
        <v>43</v>
      </c>
      <c r="B8" s="11" t="s">
        <v>54</v>
      </c>
      <c r="C8" s="5" t="s">
        <v>52</v>
      </c>
      <c r="D8" s="5"/>
    </row>
    <row r="9" spans="1:8" ht="7.4" customHeight="1" x14ac:dyDescent="0.35">
      <c r="A9" s="10"/>
      <c r="B9" s="11"/>
      <c r="C9" s="5"/>
      <c r="D9" s="5"/>
    </row>
    <row r="10" spans="1:8" x14ac:dyDescent="0.35">
      <c r="A10" s="10" t="s">
        <v>45</v>
      </c>
      <c r="B10" s="11" t="s">
        <v>55</v>
      </c>
      <c r="C10" s="5" t="s">
        <v>58</v>
      </c>
      <c r="D10" s="14" t="s">
        <v>59</v>
      </c>
    </row>
    <row r="11" spans="1:8" ht="14.4" customHeight="1" x14ac:dyDescent="0.35">
      <c r="A11" s="10" t="s">
        <v>45</v>
      </c>
      <c r="B11" s="11" t="s">
        <v>56</v>
      </c>
      <c r="C11" s="5" t="s">
        <v>61</v>
      </c>
      <c r="D11" s="17" t="s">
        <v>60</v>
      </c>
      <c r="E11" s="16"/>
      <c r="F11" s="16"/>
      <c r="G11" s="16"/>
      <c r="H11" s="16"/>
    </row>
    <row r="12" spans="1:8" x14ac:dyDescent="0.35">
      <c r="D12" s="15"/>
    </row>
    <row r="13" spans="1:8" x14ac:dyDescent="0.35">
      <c r="D13" s="15"/>
    </row>
    <row r="14" spans="1:8" x14ac:dyDescent="0.35">
      <c r="D14" s="13"/>
    </row>
  </sheetData>
  <phoneticPr fontId="4" type="noConversion"/>
  <hyperlinks>
    <hyperlink ref="C5" r:id="rId1" xr:uid="{FA10AF81-F2B2-4228-A196-7E78449106BC}"/>
    <hyperlink ref="C4" r:id="rId2" display="https://www.boe.es/buscar/act.php?id=BOE-A-2022-7191" xr:uid="{202D5C81-4B4B-4C03-85A9-9A7DE1237455}"/>
  </hyperlinks>
  <pageMargins left="0.7" right="0.7" top="0.75" bottom="0.75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ArbolDeMenus</vt:lpstr>
      <vt:lpstr>Parametros</vt:lpstr>
      <vt:lpstr>ContenidosENS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 MONGE, Vodafone</dc:creator>
  <cp:lastModifiedBy>Adrian Monge</cp:lastModifiedBy>
  <dcterms:created xsi:type="dcterms:W3CDTF">2024-04-22T11:29:36Z</dcterms:created>
  <dcterms:modified xsi:type="dcterms:W3CDTF">2024-05-26T17:24:25Z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7da11e7-ad83-4459-98c6-12a88e2eac78_Enabled">
    <vt:lpwstr>true</vt:lpwstr>
  </property>
  <property fmtid="{D5CDD505-2E9C-101B-9397-08002B2CF9AE}" pid="3" name="MSIP_Label_17da11e7-ad83-4459-98c6-12a88e2eac78_SetDate">
    <vt:lpwstr>2024-04-22T13:52:37Z</vt:lpwstr>
  </property>
  <property fmtid="{D5CDD505-2E9C-101B-9397-08002B2CF9AE}" pid="4" name="MSIP_Label_17da11e7-ad83-4459-98c6-12a88e2eac78_Method">
    <vt:lpwstr>Privileged</vt:lpwstr>
  </property>
  <property fmtid="{D5CDD505-2E9C-101B-9397-08002B2CF9AE}" pid="5" name="MSIP_Label_17da11e7-ad83-4459-98c6-12a88e2eac78_Name">
    <vt:lpwstr>17da11e7-ad83-4459-98c6-12a88e2eac78</vt:lpwstr>
  </property>
  <property fmtid="{D5CDD505-2E9C-101B-9397-08002B2CF9AE}" pid="6" name="MSIP_Label_17da11e7-ad83-4459-98c6-12a88e2eac78_SiteId">
    <vt:lpwstr>68283f3b-8487-4c86-adb3-a5228f18b893</vt:lpwstr>
  </property>
  <property fmtid="{D5CDD505-2E9C-101B-9397-08002B2CF9AE}" pid="7" name="MSIP_Label_17da11e7-ad83-4459-98c6-12a88e2eac78_ActionId">
    <vt:lpwstr>f683a42f-4eb5-452c-8a6d-8c465953fd39</vt:lpwstr>
  </property>
  <property fmtid="{D5CDD505-2E9C-101B-9397-08002B2CF9AE}" pid="8" name="MSIP_Label_17da11e7-ad83-4459-98c6-12a88e2eac78_ContentBits">
    <vt:lpwstr>0</vt:lpwstr>
  </property>
</Properties>
</file>